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용석\ref code\"/>
    </mc:Choice>
  </mc:AlternateContent>
  <bookViews>
    <workbookView xWindow="0" yWindow="0" windowWidth="10920" windowHeight="8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9" i="1" l="1"/>
  <c r="C79" i="1"/>
  <c r="D79" i="1" s="1"/>
  <c r="E79" i="1" s="1"/>
  <c r="F79" i="1" s="1"/>
  <c r="H78" i="1"/>
  <c r="I78" i="1" s="1"/>
  <c r="J78" i="1" s="1"/>
  <c r="E78" i="1"/>
  <c r="F78" i="1" s="1"/>
  <c r="D78" i="1"/>
  <c r="C78" i="1"/>
  <c r="H77" i="1"/>
  <c r="D77" i="1"/>
  <c r="E77" i="1" s="1"/>
  <c r="F77" i="1" s="1"/>
  <c r="C77" i="1"/>
  <c r="H76" i="1"/>
  <c r="C76" i="1"/>
  <c r="D76" i="1" s="1"/>
  <c r="E76" i="1" s="1"/>
  <c r="F76" i="1" s="1"/>
  <c r="H75" i="1"/>
  <c r="C75" i="1"/>
  <c r="D75" i="1" s="1"/>
  <c r="E75" i="1" s="1"/>
  <c r="F75" i="1" s="1"/>
  <c r="J67" i="1"/>
  <c r="J68" i="1"/>
  <c r="J69" i="1"/>
  <c r="J70" i="1"/>
  <c r="J66" i="1"/>
  <c r="I67" i="1"/>
  <c r="I68" i="1"/>
  <c r="I69" i="1"/>
  <c r="I70" i="1"/>
  <c r="I66" i="1"/>
  <c r="H70" i="1"/>
  <c r="C70" i="1"/>
  <c r="D70" i="1" s="1"/>
  <c r="E70" i="1" s="1"/>
  <c r="F70" i="1" s="1"/>
  <c r="H69" i="1"/>
  <c r="C69" i="1"/>
  <c r="D69" i="1" s="1"/>
  <c r="E69" i="1" s="1"/>
  <c r="F69" i="1" s="1"/>
  <c r="H68" i="1"/>
  <c r="D68" i="1"/>
  <c r="E68" i="1" s="1"/>
  <c r="F68" i="1" s="1"/>
  <c r="C68" i="1"/>
  <c r="H67" i="1"/>
  <c r="C67" i="1"/>
  <c r="D67" i="1" s="1"/>
  <c r="E67" i="1" s="1"/>
  <c r="F67" i="1" s="1"/>
  <c r="H66" i="1"/>
  <c r="C66" i="1"/>
  <c r="D66" i="1" s="1"/>
  <c r="E66" i="1" s="1"/>
  <c r="F66" i="1" s="1"/>
  <c r="H61" i="1"/>
  <c r="C61" i="1"/>
  <c r="D61" i="1" s="1"/>
  <c r="E61" i="1" s="1"/>
  <c r="F61" i="1" s="1"/>
  <c r="I61" i="1" s="1"/>
  <c r="J61" i="1" s="1"/>
  <c r="H60" i="1"/>
  <c r="C60" i="1"/>
  <c r="D60" i="1" s="1"/>
  <c r="E60" i="1" s="1"/>
  <c r="F60" i="1" s="1"/>
  <c r="H59" i="1"/>
  <c r="C59" i="1"/>
  <c r="D59" i="1" s="1"/>
  <c r="E59" i="1" s="1"/>
  <c r="F59" i="1" s="1"/>
  <c r="I59" i="1" s="1"/>
  <c r="J59" i="1" s="1"/>
  <c r="H58" i="1"/>
  <c r="C58" i="1"/>
  <c r="D58" i="1" s="1"/>
  <c r="E58" i="1" s="1"/>
  <c r="F58" i="1" s="1"/>
  <c r="H57" i="1"/>
  <c r="D57" i="1"/>
  <c r="E57" i="1" s="1"/>
  <c r="F57" i="1" s="1"/>
  <c r="C57" i="1"/>
  <c r="H47" i="1"/>
  <c r="I47" i="1" s="1"/>
  <c r="J47" i="1" s="1"/>
  <c r="H48" i="1"/>
  <c r="I48" i="1" s="1"/>
  <c r="J48" i="1" s="1"/>
  <c r="H49" i="1"/>
  <c r="H50" i="1"/>
  <c r="H51" i="1"/>
  <c r="H52" i="1"/>
  <c r="H46" i="1"/>
  <c r="C52" i="1"/>
  <c r="D52" i="1" s="1"/>
  <c r="E52" i="1" s="1"/>
  <c r="F52" i="1" s="1"/>
  <c r="I52" i="1" s="1"/>
  <c r="J52" i="1" s="1"/>
  <c r="C51" i="1"/>
  <c r="D51" i="1" s="1"/>
  <c r="E51" i="1" s="1"/>
  <c r="F51" i="1" s="1"/>
  <c r="I51" i="1" s="1"/>
  <c r="J51" i="1" s="1"/>
  <c r="C50" i="1"/>
  <c r="D50" i="1" s="1"/>
  <c r="E50" i="1" s="1"/>
  <c r="F50" i="1" s="1"/>
  <c r="C49" i="1"/>
  <c r="D49" i="1" s="1"/>
  <c r="E49" i="1" s="1"/>
  <c r="F49" i="1" s="1"/>
  <c r="I49" i="1" s="1"/>
  <c r="J49" i="1" s="1"/>
  <c r="C48" i="1"/>
  <c r="D48" i="1" s="1"/>
  <c r="E48" i="1" s="1"/>
  <c r="F48" i="1" s="1"/>
  <c r="C47" i="1"/>
  <c r="D47" i="1" s="1"/>
  <c r="E47" i="1" s="1"/>
  <c r="F47" i="1" s="1"/>
  <c r="C46" i="1"/>
  <c r="D46" i="1" s="1"/>
  <c r="E46" i="1" s="1"/>
  <c r="F46" i="1" s="1"/>
  <c r="G41" i="1"/>
  <c r="H39" i="1"/>
  <c r="C39" i="1"/>
  <c r="D39" i="1" s="1"/>
  <c r="E39" i="1" s="1"/>
  <c r="H38" i="1"/>
  <c r="C38" i="1"/>
  <c r="D38" i="1" s="1"/>
  <c r="E38" i="1" s="1"/>
  <c r="H37" i="1"/>
  <c r="C37" i="1"/>
  <c r="D37" i="1" s="1"/>
  <c r="E37" i="1" s="1"/>
  <c r="H36" i="1"/>
  <c r="C36" i="1"/>
  <c r="D36" i="1" s="1"/>
  <c r="E36" i="1" s="1"/>
  <c r="F36" i="1" s="1"/>
  <c r="H35" i="1"/>
  <c r="D35" i="1"/>
  <c r="E35" i="1" s="1"/>
  <c r="F35" i="1" s="1"/>
  <c r="C35" i="1"/>
  <c r="G29" i="1"/>
  <c r="G28" i="1"/>
  <c r="H23" i="1"/>
  <c r="H24" i="1"/>
  <c r="I24" i="1" s="1"/>
  <c r="J24" i="1" s="1"/>
  <c r="H25" i="1"/>
  <c r="I25" i="1" s="1"/>
  <c r="J25" i="1" s="1"/>
  <c r="H26" i="1"/>
  <c r="I26" i="1" s="1"/>
  <c r="J26" i="1" s="1"/>
  <c r="H22" i="1"/>
  <c r="C26" i="1"/>
  <c r="D26" i="1" s="1"/>
  <c r="E26" i="1" s="1"/>
  <c r="F26" i="1" s="1"/>
  <c r="C25" i="1"/>
  <c r="D25" i="1" s="1"/>
  <c r="E25" i="1" s="1"/>
  <c r="F25" i="1" s="1"/>
  <c r="C24" i="1"/>
  <c r="D24" i="1" s="1"/>
  <c r="E24" i="1" s="1"/>
  <c r="F24" i="1" s="1"/>
  <c r="C23" i="1"/>
  <c r="D23" i="1" s="1"/>
  <c r="E23" i="1" s="1"/>
  <c r="F23" i="1" s="1"/>
  <c r="C22" i="1"/>
  <c r="D22" i="1" s="1"/>
  <c r="E22" i="1" s="1"/>
  <c r="F22" i="1" s="1"/>
  <c r="H17" i="1"/>
  <c r="C17" i="1"/>
  <c r="D17" i="1" s="1"/>
  <c r="E17" i="1" s="1"/>
  <c r="F17" i="1" s="1"/>
  <c r="H16" i="1"/>
  <c r="C16" i="1"/>
  <c r="D16" i="1" s="1"/>
  <c r="E16" i="1" s="1"/>
  <c r="F16" i="1" s="1"/>
  <c r="H15" i="1"/>
  <c r="C15" i="1"/>
  <c r="D15" i="1" s="1"/>
  <c r="E15" i="1" s="1"/>
  <c r="F15" i="1" s="1"/>
  <c r="H14" i="1"/>
  <c r="C14" i="1"/>
  <c r="D14" i="1" s="1"/>
  <c r="E14" i="1" s="1"/>
  <c r="F14" i="1" s="1"/>
  <c r="H13" i="1"/>
  <c r="C13" i="1"/>
  <c r="D13" i="1" s="1"/>
  <c r="E13" i="1" s="1"/>
  <c r="F13" i="1" s="1"/>
  <c r="H4" i="1"/>
  <c r="H5" i="1"/>
  <c r="H6" i="1"/>
  <c r="H7" i="1"/>
  <c r="H8" i="1"/>
  <c r="H9" i="1"/>
  <c r="H3" i="1"/>
  <c r="C4" i="1"/>
  <c r="D4" i="1" s="1"/>
  <c r="E4" i="1" s="1"/>
  <c r="F4" i="1" s="1"/>
  <c r="C5" i="1"/>
  <c r="D5" i="1" s="1"/>
  <c r="E5" i="1" s="1"/>
  <c r="F5" i="1" s="1"/>
  <c r="C6" i="1"/>
  <c r="D6" i="1" s="1"/>
  <c r="E6" i="1" s="1"/>
  <c r="F6" i="1" s="1"/>
  <c r="C7" i="1"/>
  <c r="D7" i="1" s="1"/>
  <c r="E7" i="1" s="1"/>
  <c r="F7" i="1" s="1"/>
  <c r="C8" i="1"/>
  <c r="D8" i="1" s="1"/>
  <c r="E8" i="1" s="1"/>
  <c r="F8" i="1" s="1"/>
  <c r="C9" i="1"/>
  <c r="D9" i="1" s="1"/>
  <c r="E9" i="1" s="1"/>
  <c r="F9" i="1" s="1"/>
  <c r="C3" i="1"/>
  <c r="D3" i="1" s="1"/>
  <c r="E3" i="1" s="1"/>
  <c r="F3" i="1" s="1"/>
  <c r="I77" i="1" l="1"/>
  <c r="J77" i="1" s="1"/>
  <c r="I76" i="1"/>
  <c r="J76" i="1" s="1"/>
  <c r="I75" i="1"/>
  <c r="J75" i="1" s="1"/>
  <c r="I79" i="1"/>
  <c r="J79" i="1" s="1"/>
  <c r="I22" i="1"/>
  <c r="J22" i="1" s="1"/>
  <c r="I46" i="1"/>
  <c r="J46" i="1" s="1"/>
  <c r="I23" i="1"/>
  <c r="J23" i="1" s="1"/>
  <c r="I50" i="1"/>
  <c r="J50" i="1" s="1"/>
  <c r="I6" i="1"/>
  <c r="J6" i="1" s="1"/>
  <c r="I35" i="1"/>
  <c r="J35" i="1" s="1"/>
  <c r="I37" i="1"/>
  <c r="J37" i="1" s="1"/>
  <c r="I60" i="1"/>
  <c r="J60" i="1" s="1"/>
  <c r="I57" i="1"/>
  <c r="J57" i="1" s="1"/>
  <c r="I58" i="1"/>
  <c r="J58" i="1" s="1"/>
  <c r="I38" i="1"/>
  <c r="J38" i="1" s="1"/>
  <c r="F38" i="1"/>
  <c r="I39" i="1"/>
  <c r="J39" i="1" s="1"/>
  <c r="F39" i="1"/>
  <c r="F37" i="1"/>
  <c r="I36" i="1"/>
  <c r="J36" i="1" s="1"/>
  <c r="I5" i="1"/>
  <c r="J5" i="1" s="1"/>
  <c r="I3" i="1"/>
  <c r="J3" i="1" s="1"/>
  <c r="I9" i="1"/>
  <c r="J9" i="1" s="1"/>
  <c r="I7" i="1"/>
  <c r="J7" i="1" s="1"/>
  <c r="I14" i="1"/>
  <c r="J14" i="1" s="1"/>
  <c r="I4" i="1"/>
  <c r="J4" i="1" s="1"/>
  <c r="I8" i="1"/>
  <c r="J8" i="1" s="1"/>
  <c r="I15" i="1"/>
  <c r="J15" i="1" s="1"/>
  <c r="I13" i="1"/>
  <c r="J13" i="1" s="1"/>
  <c r="I16" i="1"/>
  <c r="J16" i="1" s="1"/>
  <c r="I17" i="1"/>
  <c r="J17" i="1" s="1"/>
</calcChain>
</file>

<file path=xl/sharedStrings.xml><?xml version="1.0" encoding="utf-8"?>
<sst xmlns="http://schemas.openxmlformats.org/spreadsheetml/2006/main" count="100" uniqueCount="48">
  <si>
    <t>pre scaler</t>
    <phoneticPr fontId="3" type="noConversion"/>
  </si>
  <si>
    <t>사용주파수</t>
    <phoneticPr fontId="3" type="noConversion"/>
  </si>
  <si>
    <t>1clock=1/주파수
[sec]</t>
    <phoneticPr fontId="3" type="noConversion"/>
  </si>
  <si>
    <t>1clock
[msec]</t>
    <phoneticPr fontId="3" type="noConversion"/>
  </si>
  <si>
    <t>1clock
[usec]</t>
    <phoneticPr fontId="3" type="noConversion"/>
  </si>
  <si>
    <t>주파수
16MHz</t>
    <phoneticPr fontId="3" type="noConversion"/>
  </si>
  <si>
    <t>TCNT0</t>
    <phoneticPr fontId="3" type="noConversion"/>
  </si>
  <si>
    <t>256-TCNT0</t>
    <phoneticPr fontId="3" type="noConversion"/>
  </si>
  <si>
    <t>시간
(256-tcnt)x1clock
[usec]</t>
    <phoneticPr fontId="3" type="noConversion"/>
  </si>
  <si>
    <t>시간
(256-tcnt)x1clock
[msec]</t>
    <phoneticPr fontId="3" type="noConversion"/>
  </si>
  <si>
    <t>timer0 overflow mode : TCNT0, TCCR0, TIMSK</t>
    <phoneticPr fontId="3" type="noConversion"/>
  </si>
  <si>
    <t>timer2 overflow mode : TCNT2, TCCR2, TIMSK</t>
    <phoneticPr fontId="3" type="noConversion"/>
  </si>
  <si>
    <t>TCNT2</t>
    <phoneticPr fontId="3" type="noConversion"/>
  </si>
  <si>
    <t>256-TCNT2</t>
    <phoneticPr fontId="3" type="noConversion"/>
  </si>
  <si>
    <r>
      <t>timer1 overflow mode : TCNT1</t>
    </r>
    <r>
      <rPr>
        <b/>
        <sz val="14"/>
        <color rgb="FFFF0000"/>
        <rFont val="맑은 고딕"/>
        <family val="3"/>
        <charset val="129"/>
        <scheme val="minor"/>
      </rPr>
      <t>(TCNT1H, TCNT1L)</t>
    </r>
    <r>
      <rPr>
        <b/>
        <sz val="14"/>
        <color rgb="FF0000FF"/>
        <rFont val="맑은 고딕"/>
        <family val="3"/>
        <charset val="129"/>
        <scheme val="minor"/>
      </rPr>
      <t xml:space="preserve">, TCCR1A, TCCR1B, </t>
    </r>
    <r>
      <rPr>
        <sz val="14"/>
        <color rgb="FF0000FF"/>
        <rFont val="맑은 고딕"/>
        <family val="3"/>
        <charset val="129"/>
        <scheme val="minor"/>
      </rPr>
      <t xml:space="preserve">TCCR1C, </t>
    </r>
    <r>
      <rPr>
        <b/>
        <sz val="14"/>
        <color rgb="FF0000FF"/>
        <rFont val="맑은 고딕"/>
        <family val="3"/>
        <charset val="129"/>
        <scheme val="minor"/>
      </rPr>
      <t>TIMSK</t>
    </r>
    <phoneticPr fontId="3" type="noConversion"/>
  </si>
  <si>
    <t>TCNT1
(TCNT1H, TCNT1L))</t>
    <phoneticPr fontId="3" type="noConversion"/>
  </si>
  <si>
    <t>65536-TCNT1</t>
    <phoneticPr fontId="3" type="noConversion"/>
  </si>
  <si>
    <t>시간
(65536-tcnt)x1clock
[msec]</t>
    <phoneticPr fontId="3" type="noConversion"/>
  </si>
  <si>
    <t>시간
(65536-tcnt)x1clock
[sec]</t>
    <phoneticPr fontId="3" type="noConversion"/>
  </si>
  <si>
    <t>200msec</t>
    <phoneticPr fontId="3" type="noConversion"/>
  </si>
  <si>
    <t>TCNT1H=0x3C, TCNT1L=0xB0</t>
    <phoneticPr fontId="3" type="noConversion"/>
  </si>
  <si>
    <t>=DEC2HEX(선택셀)</t>
    <phoneticPr fontId="3" type="noConversion"/>
  </si>
  <si>
    <t>=hex2dec</t>
    <phoneticPr fontId="3" type="noConversion"/>
  </si>
  <si>
    <t>=dec2bin</t>
    <phoneticPr fontId="3" type="noConversion"/>
  </si>
  <si>
    <t>=bin2dec</t>
    <phoneticPr fontId="3" type="noConversion"/>
  </si>
  <si>
    <t>TCNT3
(TCNT3H, TCNT3L))</t>
    <phoneticPr fontId="3" type="noConversion"/>
  </si>
  <si>
    <t>65536-TCNT3</t>
    <phoneticPr fontId="3" type="noConversion"/>
  </si>
  <si>
    <r>
      <t>timer3 overflow mode : TCNT3</t>
    </r>
    <r>
      <rPr>
        <b/>
        <sz val="14"/>
        <color rgb="FFFF0000"/>
        <rFont val="맑은 고딕"/>
        <family val="3"/>
        <charset val="129"/>
        <scheme val="minor"/>
      </rPr>
      <t>(TCNT3H, TCNT3L)</t>
    </r>
    <r>
      <rPr>
        <b/>
        <sz val="14"/>
        <color rgb="FF0000FF"/>
        <rFont val="맑은 고딕"/>
        <family val="3"/>
        <charset val="129"/>
        <scheme val="minor"/>
      </rPr>
      <t xml:space="preserve">, TCCR3A, TCCR3B, </t>
    </r>
    <r>
      <rPr>
        <sz val="14"/>
        <color rgb="FF0000FF"/>
        <rFont val="맑은 고딕"/>
        <family val="3"/>
        <charset val="129"/>
        <scheme val="minor"/>
      </rPr>
      <t xml:space="preserve">TCCR3C, </t>
    </r>
    <r>
      <rPr>
        <b/>
        <sz val="14"/>
        <color rgb="FF0000FF"/>
        <rFont val="맑은 고딕"/>
        <family val="3"/>
        <charset val="129"/>
        <scheme val="minor"/>
      </rPr>
      <t xml:space="preserve">TIMSK, </t>
    </r>
    <r>
      <rPr>
        <b/>
        <sz val="14"/>
        <color rgb="FFFF0000"/>
        <rFont val="맑은 고딕"/>
        <family val="3"/>
        <charset val="129"/>
        <scheme val="minor"/>
      </rPr>
      <t>ETIMSK</t>
    </r>
    <phoneticPr fontId="3" type="noConversion"/>
  </si>
  <si>
    <t>TCNT3H=0x3C, TCNT3L=0xB0</t>
    <phoneticPr fontId="3" type="noConversion"/>
  </si>
  <si>
    <t>데이터 - 가상분석 - 목표값찾기</t>
    <phoneticPr fontId="3" type="noConversion"/>
  </si>
  <si>
    <r>
      <t xml:space="preserve">TCNT0=0
</t>
    </r>
    <r>
      <rPr>
        <b/>
        <sz val="12"/>
        <color rgb="FFFF0000"/>
        <rFont val="맑은 고딕"/>
        <family val="3"/>
        <charset val="129"/>
        <scheme val="minor"/>
      </rPr>
      <t>OCR0</t>
    </r>
    <phoneticPr fontId="3" type="noConversion"/>
  </si>
  <si>
    <t>OCR0+1</t>
    <phoneticPr fontId="3" type="noConversion"/>
  </si>
  <si>
    <r>
      <t xml:space="preserve">timer0 compare match mode : </t>
    </r>
    <r>
      <rPr>
        <b/>
        <sz val="14"/>
        <rFont val="맑은 고딕"/>
        <family val="3"/>
        <charset val="129"/>
        <scheme val="minor"/>
      </rPr>
      <t>TCNT0=0</t>
    </r>
    <r>
      <rPr>
        <b/>
        <sz val="14"/>
        <color rgb="FF0000FF"/>
        <rFont val="맑은 고딕"/>
        <family val="3"/>
        <charset val="129"/>
        <scheme val="minor"/>
      </rPr>
      <t>, OCR0, TCCR0, TIMSK</t>
    </r>
    <phoneticPr fontId="3" type="noConversion"/>
  </si>
  <si>
    <t>시간
(OCR+1)x1clock
[usec]</t>
    <phoneticPr fontId="3" type="noConversion"/>
  </si>
  <si>
    <t>시간
(OCR+1)x1clock
[msec]</t>
    <phoneticPr fontId="3" type="noConversion"/>
  </si>
  <si>
    <r>
      <t xml:space="preserve">timer2 compare match mode : </t>
    </r>
    <r>
      <rPr>
        <b/>
        <sz val="14"/>
        <rFont val="맑은 고딕"/>
        <family val="3"/>
        <charset val="129"/>
        <scheme val="minor"/>
      </rPr>
      <t>TCNT2=0</t>
    </r>
    <r>
      <rPr>
        <b/>
        <sz val="14"/>
        <color rgb="FF0000FF"/>
        <rFont val="맑은 고딕"/>
        <family val="3"/>
        <charset val="129"/>
        <scheme val="minor"/>
      </rPr>
      <t>, OCR2, TCCR2, TIMSK</t>
    </r>
    <phoneticPr fontId="3" type="noConversion"/>
  </si>
  <si>
    <r>
      <t xml:space="preserve">TCNT2=0
</t>
    </r>
    <r>
      <rPr>
        <b/>
        <sz val="12"/>
        <color rgb="FFFF0000"/>
        <rFont val="맑은 고딕"/>
        <family val="3"/>
        <charset val="129"/>
        <scheme val="minor"/>
      </rPr>
      <t>OCR2</t>
    </r>
    <phoneticPr fontId="3" type="noConversion"/>
  </si>
  <si>
    <t>OCR2+1</t>
    <phoneticPr fontId="3" type="noConversion"/>
  </si>
  <si>
    <r>
      <t xml:space="preserve">PWM출력(OCR0)
:DDRB.4-HIGH
: 14pin (OC0) </t>
    </r>
    <r>
      <rPr>
        <b/>
        <sz val="12"/>
        <color rgb="FF0000FF"/>
        <rFont val="맑은 고딕"/>
        <family val="3"/>
        <charset val="129"/>
        <scheme val="minor"/>
      </rPr>
      <t xml:space="preserve">
DUTY[%]=OCR/256</t>
    </r>
    <phoneticPr fontId="3" type="noConversion"/>
  </si>
  <si>
    <r>
      <t xml:space="preserve">PWM출력OCR2
:DDRB.7-HIGH
: 17pin (OC2) </t>
    </r>
    <r>
      <rPr>
        <b/>
        <sz val="12"/>
        <color rgb="FF0000FF"/>
        <rFont val="맑은 고딕"/>
        <family val="3"/>
        <charset val="129"/>
        <scheme val="minor"/>
      </rPr>
      <t xml:space="preserve">
DUTY[%]=OCR/256</t>
    </r>
    <phoneticPr fontId="3" type="noConversion"/>
  </si>
  <si>
    <t>OCR+1</t>
    <phoneticPr fontId="3" type="noConversion"/>
  </si>
  <si>
    <t>시간
(OCR+1)x1clock
[sec]</t>
    <phoneticPr fontId="3" type="noConversion"/>
  </si>
  <si>
    <r>
      <t xml:space="preserve">PWM출력OCR
:DDRB.5~7-HIGH
: 15~17pin (OC1A,OC1B,OC1C) </t>
    </r>
    <r>
      <rPr>
        <b/>
        <sz val="12"/>
        <color rgb="FF0000FF"/>
        <rFont val="맑은 고딕"/>
        <family val="3"/>
        <charset val="129"/>
        <scheme val="minor"/>
      </rPr>
      <t xml:space="preserve">
DUTY[%]=OCR/65536
단 OCR 최대 10bit</t>
    </r>
    <phoneticPr fontId="3" type="noConversion"/>
  </si>
  <si>
    <r>
      <t xml:space="preserve">timer1 compare match mode : </t>
    </r>
    <r>
      <rPr>
        <b/>
        <sz val="14"/>
        <rFont val="맑은 고딕"/>
        <family val="3"/>
        <charset val="129"/>
        <scheme val="minor"/>
      </rPr>
      <t>TCNT1H=0 TCNT1L=0</t>
    </r>
    <r>
      <rPr>
        <b/>
        <sz val="14"/>
        <color rgb="FF0000FF"/>
        <rFont val="맑은 고딕"/>
        <family val="3"/>
        <charset val="129"/>
        <scheme val="minor"/>
      </rPr>
      <t>, OCR1AH, OCR1AL, OCR1BH, OCR1BL, OCR1CH, OCR1CL, TCCR1A, TCCR1B, TCCR1C,TIMSK, ETIMSK,</t>
    </r>
    <phoneticPr fontId="3" type="noConversion"/>
  </si>
  <si>
    <r>
      <t xml:space="preserve">TCNT1H=0
TCNT1L=0
</t>
    </r>
    <r>
      <rPr>
        <b/>
        <sz val="12"/>
        <color rgb="FFFF0000"/>
        <rFont val="맑은 고딕"/>
        <family val="3"/>
        <charset val="129"/>
        <scheme val="minor"/>
      </rPr>
      <t>OCR
OCR1AH, OCR1AL
OCR1BH, OCR1BL
OCR1CH, OCR1CL</t>
    </r>
    <phoneticPr fontId="3" type="noConversion"/>
  </si>
  <si>
    <r>
      <t xml:space="preserve">timer3 compare match mode : </t>
    </r>
    <r>
      <rPr>
        <b/>
        <sz val="14"/>
        <rFont val="맑은 고딕"/>
        <family val="3"/>
        <charset val="129"/>
        <scheme val="minor"/>
      </rPr>
      <t>TCNT3H=0 TCNT3L=0</t>
    </r>
    <r>
      <rPr>
        <b/>
        <sz val="14"/>
        <color rgb="FF0000FF"/>
        <rFont val="맑은 고딕"/>
        <family val="3"/>
        <charset val="129"/>
        <scheme val="minor"/>
      </rPr>
      <t>, OCR3AH, OCR3AL, OCR3BH, OCR3BL, OCR3CH, OCR3CL, TCCR1A, TCCR1B, TCCR1C,TIMSK, ETIMSK,</t>
    </r>
    <phoneticPr fontId="3" type="noConversion"/>
  </si>
  <si>
    <r>
      <t xml:space="preserve">TCNT3H=0
TCNT3L=0
</t>
    </r>
    <r>
      <rPr>
        <b/>
        <sz val="12"/>
        <color rgb="FFFF0000"/>
        <rFont val="맑은 고딕"/>
        <family val="3"/>
        <charset val="129"/>
        <scheme val="minor"/>
      </rPr>
      <t>OCR
OCR3AH, OCR3AL
OCR3BH, OCR3BL
OCR3CH, OCR3CL</t>
    </r>
    <phoneticPr fontId="3" type="noConversion"/>
  </si>
  <si>
    <r>
      <t xml:space="preserve">PWM출력OCR
:DDRE.3~5-HIGH
: 5~7pin (OC3A,OC3B,OC3C) </t>
    </r>
    <r>
      <rPr>
        <b/>
        <sz val="12"/>
        <color rgb="FF0000FF"/>
        <rFont val="맑은 고딕"/>
        <family val="3"/>
        <charset val="129"/>
        <scheme val="minor"/>
      </rPr>
      <t xml:space="preserve">
DUTY[%]=OCR/65536
단 OCR 최대 10bit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</si>
</sst>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69" zoomScaleNormal="100" workbookViewId="0">
      <selection activeCell="H81" sqref="H81"/>
    </sheetView>
  </sheetViews>
  <sheetFormatPr defaultColWidth="12.625" defaultRowHeight="20.25" x14ac:dyDescent="0.3"/>
  <cols>
    <col min="1" max="1" width="13" style="1" bestFit="1" customWidth="1"/>
    <col min="2" max="2" width="12.625" style="1"/>
    <col min="3" max="3" width="13" style="1" bestFit="1" customWidth="1"/>
    <col min="4" max="4" width="18" style="1" bestFit="1" customWidth="1"/>
    <col min="5" max="5" width="14.5" style="1" bestFit="1" customWidth="1"/>
    <col min="6" max="6" width="12.625" style="1"/>
    <col min="7" max="7" width="23.875" style="1" customWidth="1"/>
    <col min="8" max="8" width="14.375" style="1" customWidth="1"/>
    <col min="9" max="9" width="22.75" style="1" customWidth="1"/>
    <col min="10" max="10" width="21.25" style="1" customWidth="1"/>
    <col min="11" max="11" width="25.125" style="1" customWidth="1"/>
    <col min="12" max="16384" width="12.625" style="1"/>
  </cols>
  <sheetData>
    <row r="1" spans="1:11" x14ac:dyDescent="0.3">
      <c r="A1" s="3" t="s">
        <v>10</v>
      </c>
    </row>
    <row r="2" spans="1:11" s="4" customFormat="1" ht="51.75" x14ac:dyDescent="0.3">
      <c r="A2" s="8" t="s">
        <v>5</v>
      </c>
      <c r="B2" s="5" t="s">
        <v>0</v>
      </c>
      <c r="C2" s="4" t="s">
        <v>1</v>
      </c>
      <c r="D2" s="8" t="s">
        <v>2</v>
      </c>
      <c r="E2" s="8" t="s">
        <v>3</v>
      </c>
      <c r="F2" s="10" t="s">
        <v>4</v>
      </c>
      <c r="G2" s="5" t="s">
        <v>6</v>
      </c>
      <c r="H2" s="9" t="s">
        <v>7</v>
      </c>
      <c r="I2" s="12" t="s">
        <v>8</v>
      </c>
      <c r="J2" s="12" t="s">
        <v>9</v>
      </c>
    </row>
    <row r="3" spans="1:11" x14ac:dyDescent="0.3">
      <c r="A3" s="1">
        <v>16000000</v>
      </c>
      <c r="B3" s="6">
        <v>1</v>
      </c>
      <c r="C3" s="1">
        <f>$A$3/B3</f>
        <v>16000000</v>
      </c>
      <c r="D3" s="7">
        <f>1/C3</f>
        <v>6.2499999999999997E-8</v>
      </c>
      <c r="E3" s="1">
        <f>D3*1000</f>
        <v>6.2500000000000001E-5</v>
      </c>
      <c r="F3" s="1">
        <f>E3*1000</f>
        <v>6.25E-2</v>
      </c>
      <c r="G3" s="6">
        <v>0</v>
      </c>
      <c r="H3" s="1">
        <f>256-G3</f>
        <v>256</v>
      </c>
      <c r="I3" s="1">
        <f>H3*F3</f>
        <v>16</v>
      </c>
      <c r="J3" s="13">
        <f>I3*0.001</f>
        <v>1.6E-2</v>
      </c>
    </row>
    <row r="4" spans="1:11" x14ac:dyDescent="0.3">
      <c r="B4" s="6">
        <v>8</v>
      </c>
      <c r="C4" s="1">
        <f t="shared" ref="C4:C9" si="0">$A$3/B4</f>
        <v>2000000</v>
      </c>
      <c r="D4" s="1">
        <f t="shared" ref="D4:D9" si="1">1/C4</f>
        <v>4.9999999999999998E-7</v>
      </c>
      <c r="E4" s="1">
        <f t="shared" ref="E4:F9" si="2">D4*1000</f>
        <v>5.0000000000000001E-4</v>
      </c>
      <c r="F4" s="1">
        <f t="shared" si="2"/>
        <v>0.5</v>
      </c>
      <c r="G4" s="6">
        <v>0</v>
      </c>
      <c r="H4" s="1">
        <f t="shared" ref="H4:H9" si="3">256-G4</f>
        <v>256</v>
      </c>
      <c r="I4" s="1">
        <f t="shared" ref="I4:I9" si="4">H4*F4</f>
        <v>128</v>
      </c>
      <c r="J4" s="1">
        <f t="shared" ref="J4:J9" si="5">I4*0.001</f>
        <v>0.128</v>
      </c>
    </row>
    <row r="5" spans="1:11" x14ac:dyDescent="0.3">
      <c r="B5" s="6">
        <v>32</v>
      </c>
      <c r="C5" s="1">
        <f t="shared" si="0"/>
        <v>500000</v>
      </c>
      <c r="D5" s="1">
        <f t="shared" si="1"/>
        <v>1.9999999999999999E-6</v>
      </c>
      <c r="E5" s="1">
        <f t="shared" si="2"/>
        <v>2E-3</v>
      </c>
      <c r="F5" s="1">
        <f t="shared" si="2"/>
        <v>2</v>
      </c>
      <c r="G5" s="6">
        <v>0</v>
      </c>
      <c r="H5" s="1">
        <f t="shared" si="3"/>
        <v>256</v>
      </c>
      <c r="I5" s="1">
        <f t="shared" si="4"/>
        <v>512</v>
      </c>
      <c r="J5" s="1">
        <f t="shared" si="5"/>
        <v>0.51200000000000001</v>
      </c>
    </row>
    <row r="6" spans="1:11" x14ac:dyDescent="0.3">
      <c r="B6" s="6">
        <v>64</v>
      </c>
      <c r="C6" s="1">
        <f t="shared" si="0"/>
        <v>250000</v>
      </c>
      <c r="D6" s="1">
        <f t="shared" si="1"/>
        <v>3.9999999999999998E-6</v>
      </c>
      <c r="E6" s="1">
        <f t="shared" si="2"/>
        <v>4.0000000000000001E-3</v>
      </c>
      <c r="F6" s="1">
        <f t="shared" si="2"/>
        <v>4</v>
      </c>
      <c r="G6" s="6">
        <v>0</v>
      </c>
      <c r="H6" s="1">
        <f t="shared" si="3"/>
        <v>256</v>
      </c>
      <c r="I6" s="1">
        <f t="shared" si="4"/>
        <v>1024</v>
      </c>
      <c r="J6" s="1">
        <f t="shared" si="5"/>
        <v>1.024</v>
      </c>
    </row>
    <row r="7" spans="1:11" x14ac:dyDescent="0.3">
      <c r="B7" s="6">
        <v>128</v>
      </c>
      <c r="C7" s="1">
        <f t="shared" si="0"/>
        <v>125000</v>
      </c>
      <c r="D7" s="1">
        <f t="shared" si="1"/>
        <v>7.9999999999999996E-6</v>
      </c>
      <c r="E7" s="1">
        <f t="shared" si="2"/>
        <v>8.0000000000000002E-3</v>
      </c>
      <c r="F7" s="1">
        <f t="shared" si="2"/>
        <v>8</v>
      </c>
      <c r="G7" s="6">
        <v>0</v>
      </c>
      <c r="H7" s="1">
        <f t="shared" si="3"/>
        <v>256</v>
      </c>
      <c r="I7" s="1">
        <f t="shared" si="4"/>
        <v>2048</v>
      </c>
      <c r="J7" s="1">
        <f t="shared" si="5"/>
        <v>2.048</v>
      </c>
    </row>
    <row r="8" spans="1:11" x14ac:dyDescent="0.3">
      <c r="B8" s="6">
        <v>256</v>
      </c>
      <c r="C8" s="1">
        <f t="shared" si="0"/>
        <v>62500</v>
      </c>
      <c r="D8" s="1">
        <f t="shared" si="1"/>
        <v>1.5999999999999999E-5</v>
      </c>
      <c r="E8" s="1">
        <f t="shared" si="2"/>
        <v>1.6E-2</v>
      </c>
      <c r="F8" s="1">
        <f t="shared" si="2"/>
        <v>16</v>
      </c>
      <c r="G8" s="6">
        <v>6</v>
      </c>
      <c r="H8" s="1">
        <f t="shared" si="3"/>
        <v>250</v>
      </c>
      <c r="I8" s="1">
        <f t="shared" si="4"/>
        <v>4000</v>
      </c>
      <c r="J8" s="1">
        <f t="shared" si="5"/>
        <v>4</v>
      </c>
      <c r="K8" s="1">
        <v>4</v>
      </c>
    </row>
    <row r="9" spans="1:11" x14ac:dyDescent="0.3">
      <c r="B9" s="6">
        <v>1024</v>
      </c>
      <c r="C9" s="1">
        <f t="shared" si="0"/>
        <v>15625</v>
      </c>
      <c r="D9" s="1">
        <f t="shared" si="1"/>
        <v>6.3999999999999997E-5</v>
      </c>
      <c r="E9" s="1">
        <f t="shared" si="2"/>
        <v>6.4000000000000001E-2</v>
      </c>
      <c r="F9" s="1">
        <f t="shared" si="2"/>
        <v>64</v>
      </c>
      <c r="G9" s="6">
        <v>194</v>
      </c>
      <c r="H9" s="1">
        <f t="shared" si="3"/>
        <v>62</v>
      </c>
      <c r="I9" s="1">
        <f t="shared" si="4"/>
        <v>3968</v>
      </c>
      <c r="J9" s="13">
        <f t="shared" si="5"/>
        <v>3.968</v>
      </c>
      <c r="K9" s="1">
        <v>4</v>
      </c>
    </row>
    <row r="11" spans="1:11" x14ac:dyDescent="0.3">
      <c r="A11" s="3" t="s">
        <v>11</v>
      </c>
    </row>
    <row r="12" spans="1:11" ht="51.75" x14ac:dyDescent="0.3">
      <c r="A12" s="8" t="s">
        <v>5</v>
      </c>
      <c r="B12" s="5" t="s">
        <v>0</v>
      </c>
      <c r="C12" s="4" t="s">
        <v>1</v>
      </c>
      <c r="D12" s="8" t="s">
        <v>2</v>
      </c>
      <c r="E12" s="8" t="s">
        <v>3</v>
      </c>
      <c r="F12" s="10" t="s">
        <v>4</v>
      </c>
      <c r="G12" s="5" t="s">
        <v>12</v>
      </c>
      <c r="H12" s="9" t="s">
        <v>13</v>
      </c>
      <c r="I12" s="12" t="s">
        <v>8</v>
      </c>
      <c r="J12" s="12" t="s">
        <v>9</v>
      </c>
    </row>
    <row r="13" spans="1:11" x14ac:dyDescent="0.3">
      <c r="A13" s="1">
        <v>16000000</v>
      </c>
      <c r="B13" s="6">
        <v>1</v>
      </c>
      <c r="C13" s="1">
        <f>$A$3/B13</f>
        <v>16000000</v>
      </c>
      <c r="D13" s="7">
        <f>1/C13</f>
        <v>6.2499999999999997E-8</v>
      </c>
      <c r="E13" s="1">
        <f>D13*1000</f>
        <v>6.2500000000000001E-5</v>
      </c>
      <c r="F13" s="1">
        <f>E13*1000</f>
        <v>6.25E-2</v>
      </c>
      <c r="G13" s="6">
        <v>0</v>
      </c>
      <c r="H13" s="1">
        <f>256-G13</f>
        <v>256</v>
      </c>
      <c r="I13" s="1">
        <f>H13*F13</f>
        <v>16</v>
      </c>
      <c r="J13" s="13">
        <f>I13*0.001</f>
        <v>1.6E-2</v>
      </c>
    </row>
    <row r="14" spans="1:11" x14ac:dyDescent="0.3">
      <c r="B14" s="6">
        <v>8</v>
      </c>
      <c r="C14" s="1">
        <f t="shared" ref="C14:C17" si="6">$A$3/B14</f>
        <v>2000000</v>
      </c>
      <c r="D14" s="1">
        <f t="shared" ref="D14:D17" si="7">1/C14</f>
        <v>4.9999999999999998E-7</v>
      </c>
      <c r="E14" s="1">
        <f t="shared" ref="E14:F14" si="8">D14*1000</f>
        <v>5.0000000000000001E-4</v>
      </c>
      <c r="F14" s="1">
        <f t="shared" si="8"/>
        <v>0.5</v>
      </c>
      <c r="G14" s="6">
        <v>0</v>
      </c>
      <c r="H14" s="1">
        <f t="shared" ref="H14:H17" si="9">256-G14</f>
        <v>256</v>
      </c>
      <c r="I14" s="1">
        <f t="shared" ref="I14:I17" si="10">H14*F14</f>
        <v>128</v>
      </c>
      <c r="J14" s="1">
        <f t="shared" ref="J14:J17" si="11">I14*0.001</f>
        <v>0.128</v>
      </c>
    </row>
    <row r="15" spans="1:11" x14ac:dyDescent="0.3">
      <c r="B15" s="6">
        <v>64</v>
      </c>
      <c r="C15" s="1">
        <f t="shared" si="6"/>
        <v>250000</v>
      </c>
      <c r="D15" s="1">
        <f t="shared" si="7"/>
        <v>3.9999999999999998E-6</v>
      </c>
      <c r="E15" s="1">
        <f t="shared" ref="E15:F15" si="12">D15*1000</f>
        <v>4.0000000000000001E-3</v>
      </c>
      <c r="F15" s="1">
        <f t="shared" si="12"/>
        <v>4</v>
      </c>
      <c r="G15" s="6">
        <v>0</v>
      </c>
      <c r="H15" s="1">
        <f t="shared" si="9"/>
        <v>256</v>
      </c>
      <c r="I15" s="1">
        <f t="shared" si="10"/>
        <v>1024</v>
      </c>
      <c r="J15" s="1">
        <f t="shared" si="11"/>
        <v>1.024</v>
      </c>
    </row>
    <row r="16" spans="1:11" x14ac:dyDescent="0.3">
      <c r="B16" s="6">
        <v>256</v>
      </c>
      <c r="C16" s="1">
        <f t="shared" si="6"/>
        <v>62500</v>
      </c>
      <c r="D16" s="1">
        <f t="shared" si="7"/>
        <v>1.5999999999999999E-5</v>
      </c>
      <c r="E16" s="1">
        <f t="shared" ref="E16:F16" si="13">D16*1000</f>
        <v>1.6E-2</v>
      </c>
      <c r="F16" s="1">
        <f t="shared" si="13"/>
        <v>16</v>
      </c>
      <c r="G16" s="6">
        <v>0</v>
      </c>
      <c r="H16" s="1">
        <f t="shared" si="9"/>
        <v>256</v>
      </c>
      <c r="I16" s="1">
        <f t="shared" si="10"/>
        <v>4096</v>
      </c>
      <c r="J16" s="1">
        <f t="shared" si="11"/>
        <v>4.0960000000000001</v>
      </c>
    </row>
    <row r="17" spans="1:10" x14ac:dyDescent="0.3">
      <c r="B17" s="6">
        <v>1024</v>
      </c>
      <c r="C17" s="1">
        <f t="shared" si="6"/>
        <v>15625</v>
      </c>
      <c r="D17" s="1">
        <f t="shared" si="7"/>
        <v>6.3999999999999997E-5</v>
      </c>
      <c r="E17" s="1">
        <f t="shared" ref="E17:F17" si="14">D17*1000</f>
        <v>6.4000000000000001E-2</v>
      </c>
      <c r="F17" s="1">
        <f t="shared" si="14"/>
        <v>64</v>
      </c>
      <c r="G17" s="6">
        <v>0</v>
      </c>
      <c r="H17" s="1">
        <f t="shared" si="9"/>
        <v>256</v>
      </c>
      <c r="I17" s="1">
        <f t="shared" si="10"/>
        <v>16384</v>
      </c>
      <c r="J17" s="13">
        <f t="shared" si="11"/>
        <v>16.384</v>
      </c>
    </row>
    <row r="20" spans="1:10" x14ac:dyDescent="0.3">
      <c r="A20" s="3" t="s">
        <v>14</v>
      </c>
    </row>
    <row r="21" spans="1:10" ht="51.75" x14ac:dyDescent="0.3">
      <c r="A21" s="8" t="s">
        <v>5</v>
      </c>
      <c r="B21" s="5" t="s">
        <v>0</v>
      </c>
      <c r="C21" s="4" t="s">
        <v>1</v>
      </c>
      <c r="D21" s="8" t="s">
        <v>2</v>
      </c>
      <c r="E21" s="12" t="s">
        <v>3</v>
      </c>
      <c r="F21" s="11" t="s">
        <v>4</v>
      </c>
      <c r="G21" s="14" t="s">
        <v>15</v>
      </c>
      <c r="H21" s="9" t="s">
        <v>16</v>
      </c>
      <c r="I21" s="12" t="s">
        <v>17</v>
      </c>
      <c r="J21" s="12" t="s">
        <v>18</v>
      </c>
    </row>
    <row r="22" spans="1:10" x14ac:dyDescent="0.3">
      <c r="A22" s="1">
        <v>16000000</v>
      </c>
      <c r="B22" s="6">
        <v>1</v>
      </c>
      <c r="C22" s="1">
        <f>$A$3/B22</f>
        <v>16000000</v>
      </c>
      <c r="D22" s="7">
        <f>1/C22</f>
        <v>6.2499999999999997E-8</v>
      </c>
      <c r="E22" s="1">
        <f>D22*1000</f>
        <v>6.2500000000000001E-5</v>
      </c>
      <c r="F22" s="1">
        <f>E22*1000</f>
        <v>6.25E-2</v>
      </c>
      <c r="G22" s="6">
        <v>0</v>
      </c>
      <c r="H22" s="1">
        <f>65536-G22</f>
        <v>65536</v>
      </c>
      <c r="I22" s="1">
        <f>H22*E22</f>
        <v>4.0960000000000001</v>
      </c>
      <c r="J22" s="13">
        <f>I22*0.001</f>
        <v>4.0959999999999998E-3</v>
      </c>
    </row>
    <row r="23" spans="1:10" x14ac:dyDescent="0.3">
      <c r="B23" s="6">
        <v>8</v>
      </c>
      <c r="C23" s="1">
        <f t="shared" ref="C23:C26" si="15">$A$3/B23</f>
        <v>2000000</v>
      </c>
      <c r="D23" s="1">
        <f t="shared" ref="D23:D26" si="16">1/C23</f>
        <v>4.9999999999999998E-7</v>
      </c>
      <c r="E23" s="1">
        <f t="shared" ref="E23:F23" si="17">D23*1000</f>
        <v>5.0000000000000001E-4</v>
      </c>
      <c r="F23" s="1">
        <f t="shared" si="17"/>
        <v>0.5</v>
      </c>
      <c r="G23" s="6">
        <v>0</v>
      </c>
      <c r="H23" s="1">
        <f t="shared" ref="H23:H26" si="18">65536-G23</f>
        <v>65536</v>
      </c>
      <c r="I23" s="1">
        <f t="shared" ref="I23:I26" si="19">H23*E23</f>
        <v>32.768000000000001</v>
      </c>
      <c r="J23" s="13">
        <f t="shared" ref="J23:J26" si="20">I23*0.001</f>
        <v>3.2767999999999999E-2</v>
      </c>
    </row>
    <row r="24" spans="1:10" x14ac:dyDescent="0.3">
      <c r="B24" s="6">
        <v>64</v>
      </c>
      <c r="C24" s="1">
        <f t="shared" si="15"/>
        <v>250000</v>
      </c>
      <c r="D24" s="1">
        <f t="shared" si="16"/>
        <v>3.9999999999999998E-6</v>
      </c>
      <c r="E24" s="1">
        <f t="shared" ref="E24:F24" si="21">D24*1000</f>
        <v>4.0000000000000001E-3</v>
      </c>
      <c r="F24" s="1">
        <f t="shared" si="21"/>
        <v>4</v>
      </c>
      <c r="G24" s="6">
        <v>15536</v>
      </c>
      <c r="H24" s="1">
        <f t="shared" si="18"/>
        <v>50000</v>
      </c>
      <c r="I24" s="1">
        <f t="shared" si="19"/>
        <v>200</v>
      </c>
      <c r="J24" s="13">
        <f t="shared" si="20"/>
        <v>0.2</v>
      </c>
    </row>
    <row r="25" spans="1:10" x14ac:dyDescent="0.3">
      <c r="B25" s="6">
        <v>256</v>
      </c>
      <c r="C25" s="1">
        <f t="shared" si="15"/>
        <v>62500</v>
      </c>
      <c r="D25" s="1">
        <f t="shared" si="16"/>
        <v>1.5999999999999999E-5</v>
      </c>
      <c r="E25" s="1">
        <f t="shared" ref="E25:F25" si="22">D25*1000</f>
        <v>1.6E-2</v>
      </c>
      <c r="F25" s="1">
        <f t="shared" si="22"/>
        <v>16</v>
      </c>
      <c r="G25" s="6">
        <v>53036</v>
      </c>
      <c r="H25" s="1">
        <f t="shared" si="18"/>
        <v>12500</v>
      </c>
      <c r="I25" s="1">
        <f t="shared" si="19"/>
        <v>200</v>
      </c>
      <c r="J25" s="13">
        <f t="shared" si="20"/>
        <v>0.2</v>
      </c>
    </row>
    <row r="26" spans="1:10" x14ac:dyDescent="0.3">
      <c r="B26" s="6">
        <v>1024</v>
      </c>
      <c r="C26" s="1">
        <f t="shared" si="15"/>
        <v>15625</v>
      </c>
      <c r="D26" s="1">
        <f t="shared" si="16"/>
        <v>6.3999999999999997E-5</v>
      </c>
      <c r="E26" s="1">
        <f t="shared" ref="E26:F26" si="23">D26*1000</f>
        <v>6.4000000000000001E-2</v>
      </c>
      <c r="F26" s="1">
        <f t="shared" si="23"/>
        <v>64</v>
      </c>
      <c r="G26" s="6">
        <v>0</v>
      </c>
      <c r="H26" s="1">
        <f t="shared" si="18"/>
        <v>65536</v>
      </c>
      <c r="I26" s="1">
        <f t="shared" si="19"/>
        <v>4194.3040000000001</v>
      </c>
      <c r="J26" s="13">
        <f t="shared" si="20"/>
        <v>4.1943039999999998</v>
      </c>
    </row>
    <row r="28" spans="1:10" x14ac:dyDescent="0.3">
      <c r="D28" s="15" t="s">
        <v>21</v>
      </c>
      <c r="G28" s="1" t="str">
        <f>DEC2HEX(G24)</f>
        <v>3CB0</v>
      </c>
      <c r="H28" s="2" t="s">
        <v>20</v>
      </c>
    </row>
    <row r="29" spans="1:10" x14ac:dyDescent="0.3">
      <c r="D29" s="15" t="s">
        <v>22</v>
      </c>
      <c r="G29" s="1" t="str">
        <f>DEC2HEX(G25)</f>
        <v>CF2C</v>
      </c>
    </row>
    <row r="30" spans="1:10" x14ac:dyDescent="0.3">
      <c r="D30" s="15" t="s">
        <v>23</v>
      </c>
    </row>
    <row r="31" spans="1:10" x14ac:dyDescent="0.3">
      <c r="D31" s="15" t="s">
        <v>24</v>
      </c>
      <c r="G31" s="1" t="s">
        <v>19</v>
      </c>
    </row>
    <row r="33" spans="1:11" x14ac:dyDescent="0.3">
      <c r="A33" s="3" t="s">
        <v>27</v>
      </c>
    </row>
    <row r="34" spans="1:11" ht="51.75" x14ac:dyDescent="0.3">
      <c r="A34" s="8" t="s">
        <v>5</v>
      </c>
      <c r="B34" s="5" t="s">
        <v>0</v>
      </c>
      <c r="C34" s="4" t="s">
        <v>1</v>
      </c>
      <c r="D34" s="8" t="s">
        <v>2</v>
      </c>
      <c r="E34" s="12" t="s">
        <v>3</v>
      </c>
      <c r="F34" s="11" t="s">
        <v>4</v>
      </c>
      <c r="G34" s="14" t="s">
        <v>25</v>
      </c>
      <c r="H34" s="9" t="s">
        <v>26</v>
      </c>
      <c r="I34" s="12" t="s">
        <v>17</v>
      </c>
      <c r="J34" s="12" t="s">
        <v>18</v>
      </c>
    </row>
    <row r="35" spans="1:11" x14ac:dyDescent="0.3">
      <c r="A35" s="1">
        <v>16000000</v>
      </c>
      <c r="B35" s="6">
        <v>1</v>
      </c>
      <c r="C35" s="1">
        <f>$A$3/B35</f>
        <v>16000000</v>
      </c>
      <c r="D35" s="7">
        <f>1/C35</f>
        <v>6.2499999999999997E-8</v>
      </c>
      <c r="E35" s="1">
        <f>D35*1000</f>
        <v>6.2500000000000001E-5</v>
      </c>
      <c r="F35" s="1">
        <f>E35*1000</f>
        <v>6.25E-2</v>
      </c>
      <c r="G35" s="6">
        <v>0</v>
      </c>
      <c r="H35" s="1">
        <f>65536-G35</f>
        <v>65536</v>
      </c>
      <c r="I35" s="1">
        <f>H35*E35</f>
        <v>4.0960000000000001</v>
      </c>
      <c r="J35" s="13">
        <f>I35*0.001</f>
        <v>4.0959999999999998E-3</v>
      </c>
    </row>
    <row r="36" spans="1:11" x14ac:dyDescent="0.3">
      <c r="B36" s="6">
        <v>8</v>
      </c>
      <c r="C36" s="1">
        <f t="shared" ref="C36:C39" si="24">$A$3/B36</f>
        <v>2000000</v>
      </c>
      <c r="D36" s="1">
        <f t="shared" ref="D36:D39" si="25">1/C36</f>
        <v>4.9999999999999998E-7</v>
      </c>
      <c r="E36" s="1">
        <f t="shared" ref="E36:F36" si="26">D36*1000</f>
        <v>5.0000000000000001E-4</v>
      </c>
      <c r="F36" s="1">
        <f t="shared" si="26"/>
        <v>0.5</v>
      </c>
      <c r="G36" s="6">
        <v>0</v>
      </c>
      <c r="H36" s="1">
        <f t="shared" ref="H36:H39" si="27">65536-G36</f>
        <v>65536</v>
      </c>
      <c r="I36" s="1">
        <f t="shared" ref="I36:I39" si="28">H36*E36</f>
        <v>32.768000000000001</v>
      </c>
      <c r="J36" s="13">
        <f t="shared" ref="J36:J39" si="29">I36*0.001</f>
        <v>3.2767999999999999E-2</v>
      </c>
    </row>
    <row r="37" spans="1:11" x14ac:dyDescent="0.3">
      <c r="B37" s="6">
        <v>64</v>
      </c>
      <c r="C37" s="1">
        <f t="shared" si="24"/>
        <v>250000</v>
      </c>
      <c r="D37" s="1">
        <f t="shared" si="25"/>
        <v>3.9999999999999998E-6</v>
      </c>
      <c r="E37" s="1">
        <f t="shared" ref="E37:F37" si="30">D37*1000</f>
        <v>4.0000000000000001E-3</v>
      </c>
      <c r="F37" s="1">
        <f t="shared" si="30"/>
        <v>4</v>
      </c>
      <c r="G37" s="6">
        <v>0</v>
      </c>
      <c r="H37" s="1">
        <f t="shared" si="27"/>
        <v>65536</v>
      </c>
      <c r="I37" s="1">
        <f t="shared" si="28"/>
        <v>262.14400000000001</v>
      </c>
      <c r="J37" s="13">
        <f t="shared" si="29"/>
        <v>0.26214399999999999</v>
      </c>
    </row>
    <row r="38" spans="1:11" x14ac:dyDescent="0.3">
      <c r="B38" s="6">
        <v>256</v>
      </c>
      <c r="C38" s="1">
        <f t="shared" si="24"/>
        <v>62500</v>
      </c>
      <c r="D38" s="1">
        <f t="shared" si="25"/>
        <v>1.5999999999999999E-5</v>
      </c>
      <c r="E38" s="1">
        <f t="shared" ref="E38:F38" si="31">D38*1000</f>
        <v>1.6E-2</v>
      </c>
      <c r="F38" s="1">
        <f t="shared" si="31"/>
        <v>16</v>
      </c>
      <c r="G38" s="6">
        <v>0</v>
      </c>
      <c r="H38" s="1">
        <f t="shared" si="27"/>
        <v>65536</v>
      </c>
      <c r="I38" s="1">
        <f t="shared" si="28"/>
        <v>1048.576</v>
      </c>
      <c r="J38" s="13">
        <f t="shared" si="29"/>
        <v>1.048576</v>
      </c>
    </row>
    <row r="39" spans="1:11" x14ac:dyDescent="0.3">
      <c r="B39" s="6">
        <v>1024</v>
      </c>
      <c r="C39" s="1">
        <f t="shared" si="24"/>
        <v>15625</v>
      </c>
      <c r="D39" s="1">
        <f t="shared" si="25"/>
        <v>6.3999999999999997E-5</v>
      </c>
      <c r="E39" s="1">
        <f t="shared" ref="E39:F39" si="32">D39*1000</f>
        <v>6.4000000000000001E-2</v>
      </c>
      <c r="F39" s="1">
        <f t="shared" si="32"/>
        <v>64</v>
      </c>
      <c r="G39" s="6">
        <v>0</v>
      </c>
      <c r="H39" s="1">
        <f t="shared" si="27"/>
        <v>65536</v>
      </c>
      <c r="I39" s="1">
        <f t="shared" si="28"/>
        <v>4194.3040000000001</v>
      </c>
      <c r="J39" s="13">
        <f t="shared" si="29"/>
        <v>4.1943039999999998</v>
      </c>
    </row>
    <row r="41" spans="1:11" x14ac:dyDescent="0.3">
      <c r="D41" s="15"/>
      <c r="G41" s="1" t="str">
        <f>DEC2HEX(G37)</f>
        <v>0</v>
      </c>
      <c r="H41" s="2" t="s">
        <v>28</v>
      </c>
      <c r="K41" s="16"/>
    </row>
    <row r="42" spans="1:11" x14ac:dyDescent="0.3">
      <c r="D42" s="15"/>
      <c r="H42" s="16" t="s">
        <v>29</v>
      </c>
    </row>
    <row r="43" spans="1:11" x14ac:dyDescent="0.3">
      <c r="D43" s="15"/>
    </row>
    <row r="44" spans="1:11" x14ac:dyDescent="0.3">
      <c r="A44" s="3" t="s">
        <v>32</v>
      </c>
    </row>
    <row r="45" spans="1:11" ht="72" customHeight="1" x14ac:dyDescent="0.3">
      <c r="A45" s="8" t="s">
        <v>5</v>
      </c>
      <c r="B45" s="5" t="s">
        <v>0</v>
      </c>
      <c r="C45" s="4" t="s">
        <v>1</v>
      </c>
      <c r="D45" s="8" t="s">
        <v>2</v>
      </c>
      <c r="E45" s="8" t="s">
        <v>3</v>
      </c>
      <c r="F45" s="10" t="s">
        <v>4</v>
      </c>
      <c r="G45" s="14" t="s">
        <v>30</v>
      </c>
      <c r="H45" s="9" t="s">
        <v>31</v>
      </c>
      <c r="I45" s="12" t="s">
        <v>33</v>
      </c>
      <c r="J45" s="12" t="s">
        <v>34</v>
      </c>
      <c r="K45" s="8" t="s">
        <v>38</v>
      </c>
    </row>
    <row r="46" spans="1:11" x14ac:dyDescent="0.3">
      <c r="A46" s="1">
        <v>16000000</v>
      </c>
      <c r="B46" s="6">
        <v>1</v>
      </c>
      <c r="C46" s="1">
        <f>$A$3/B46</f>
        <v>16000000</v>
      </c>
      <c r="D46" s="7">
        <f>1/C46</f>
        <v>6.2499999999999997E-8</v>
      </c>
      <c r="E46" s="1">
        <f>D46*1000</f>
        <v>6.2500000000000001E-5</v>
      </c>
      <c r="F46" s="1">
        <f>E46*1000</f>
        <v>6.25E-2</v>
      </c>
      <c r="G46" s="6">
        <v>255</v>
      </c>
      <c r="H46" s="1">
        <f>G46+1</f>
        <v>256</v>
      </c>
      <c r="I46" s="1">
        <f>H46*F46</f>
        <v>16</v>
      </c>
      <c r="J46" s="13">
        <f>I46*0.001</f>
        <v>1.6E-2</v>
      </c>
    </row>
    <row r="47" spans="1:11" x14ac:dyDescent="0.3">
      <c r="B47" s="6">
        <v>8</v>
      </c>
      <c r="C47" s="1">
        <f t="shared" ref="C47:C52" si="33">$A$3/B47</f>
        <v>2000000</v>
      </c>
      <c r="D47" s="1">
        <f t="shared" ref="D47:D52" si="34">1/C47</f>
        <v>4.9999999999999998E-7</v>
      </c>
      <c r="E47" s="1">
        <f t="shared" ref="E47:F47" si="35">D47*1000</f>
        <v>5.0000000000000001E-4</v>
      </c>
      <c r="F47" s="1">
        <f t="shared" si="35"/>
        <v>0.5</v>
      </c>
      <c r="G47" s="6">
        <v>255</v>
      </c>
      <c r="H47" s="1">
        <f t="shared" ref="H47:H52" si="36">G47+1</f>
        <v>256</v>
      </c>
      <c r="I47" s="1">
        <f t="shared" ref="I47:I52" si="37">H47*F47</f>
        <v>128</v>
      </c>
      <c r="J47" s="13">
        <f t="shared" ref="J47:J52" si="38">I47*0.001</f>
        <v>0.128</v>
      </c>
    </row>
    <row r="48" spans="1:11" x14ac:dyDescent="0.3">
      <c r="B48" s="6">
        <v>32</v>
      </c>
      <c r="C48" s="1">
        <f t="shared" si="33"/>
        <v>500000</v>
      </c>
      <c r="D48" s="1">
        <f t="shared" si="34"/>
        <v>1.9999999999999999E-6</v>
      </c>
      <c r="E48" s="1">
        <f t="shared" ref="E48:F48" si="39">D48*1000</f>
        <v>2E-3</v>
      </c>
      <c r="F48" s="1">
        <f t="shared" si="39"/>
        <v>2</v>
      </c>
      <c r="G48" s="6">
        <v>255</v>
      </c>
      <c r="H48" s="1">
        <f t="shared" si="36"/>
        <v>256</v>
      </c>
      <c r="I48" s="1">
        <f t="shared" si="37"/>
        <v>512</v>
      </c>
      <c r="J48" s="13">
        <f t="shared" si="38"/>
        <v>0.51200000000000001</v>
      </c>
    </row>
    <row r="49" spans="1:11" x14ac:dyDescent="0.3">
      <c r="B49" s="6">
        <v>64</v>
      </c>
      <c r="C49" s="1">
        <f t="shared" si="33"/>
        <v>250000</v>
      </c>
      <c r="D49" s="1">
        <f t="shared" si="34"/>
        <v>3.9999999999999998E-6</v>
      </c>
      <c r="E49" s="1">
        <f t="shared" ref="E49:F49" si="40">D49*1000</f>
        <v>4.0000000000000001E-3</v>
      </c>
      <c r="F49" s="1">
        <f t="shared" si="40"/>
        <v>4</v>
      </c>
      <c r="G49" s="6">
        <v>255</v>
      </c>
      <c r="H49" s="1">
        <f t="shared" si="36"/>
        <v>256</v>
      </c>
      <c r="I49" s="1">
        <f t="shared" si="37"/>
        <v>1024</v>
      </c>
      <c r="J49" s="13">
        <f t="shared" si="38"/>
        <v>1.024</v>
      </c>
    </row>
    <row r="50" spans="1:11" x14ac:dyDescent="0.3">
      <c r="B50" s="6">
        <v>128</v>
      </c>
      <c r="C50" s="1">
        <f t="shared" si="33"/>
        <v>125000</v>
      </c>
      <c r="D50" s="1">
        <f t="shared" si="34"/>
        <v>7.9999999999999996E-6</v>
      </c>
      <c r="E50" s="1">
        <f t="shared" ref="E50:F50" si="41">D50*1000</f>
        <v>8.0000000000000002E-3</v>
      </c>
      <c r="F50" s="1">
        <f t="shared" si="41"/>
        <v>8</v>
      </c>
      <c r="G50" s="6">
        <v>255</v>
      </c>
      <c r="H50" s="1">
        <f t="shared" si="36"/>
        <v>256</v>
      </c>
      <c r="I50" s="1">
        <f t="shared" si="37"/>
        <v>2048</v>
      </c>
      <c r="J50" s="13">
        <f t="shared" si="38"/>
        <v>2.048</v>
      </c>
    </row>
    <row r="51" spans="1:11" x14ac:dyDescent="0.3">
      <c r="B51" s="6">
        <v>256</v>
      </c>
      <c r="C51" s="1">
        <f t="shared" si="33"/>
        <v>62500</v>
      </c>
      <c r="D51" s="1">
        <f t="shared" si="34"/>
        <v>1.5999999999999999E-5</v>
      </c>
      <c r="E51" s="1">
        <f t="shared" ref="E51:F51" si="42">D51*1000</f>
        <v>1.6E-2</v>
      </c>
      <c r="F51" s="1">
        <f t="shared" si="42"/>
        <v>16</v>
      </c>
      <c r="G51" s="6">
        <v>255</v>
      </c>
      <c r="H51" s="1">
        <f t="shared" si="36"/>
        <v>256</v>
      </c>
      <c r="I51" s="1">
        <f t="shared" si="37"/>
        <v>4096</v>
      </c>
      <c r="J51" s="13">
        <f t="shared" si="38"/>
        <v>4.0960000000000001</v>
      </c>
    </row>
    <row r="52" spans="1:11" x14ac:dyDescent="0.3">
      <c r="B52" s="6">
        <v>1024</v>
      </c>
      <c r="C52" s="1">
        <f t="shared" si="33"/>
        <v>15625</v>
      </c>
      <c r="D52" s="1">
        <f t="shared" si="34"/>
        <v>6.3999999999999997E-5</v>
      </c>
      <c r="E52" s="1">
        <f t="shared" ref="E52:F52" si="43">D52*1000</f>
        <v>6.4000000000000001E-2</v>
      </c>
      <c r="F52" s="1">
        <f t="shared" si="43"/>
        <v>64</v>
      </c>
      <c r="G52" s="6">
        <v>255</v>
      </c>
      <c r="H52" s="1">
        <f t="shared" si="36"/>
        <v>256</v>
      </c>
      <c r="I52" s="1">
        <f t="shared" si="37"/>
        <v>16384</v>
      </c>
      <c r="J52" s="13">
        <f t="shared" si="38"/>
        <v>16.384</v>
      </c>
    </row>
    <row r="55" spans="1:11" x14ac:dyDescent="0.3">
      <c r="A55" s="3" t="s">
        <v>35</v>
      </c>
    </row>
    <row r="56" spans="1:11" ht="69" x14ac:dyDescent="0.3">
      <c r="A56" s="8" t="s">
        <v>5</v>
      </c>
      <c r="B56" s="5" t="s">
        <v>0</v>
      </c>
      <c r="C56" s="4" t="s">
        <v>1</v>
      </c>
      <c r="D56" s="8" t="s">
        <v>2</v>
      </c>
      <c r="E56" s="8" t="s">
        <v>3</v>
      </c>
      <c r="F56" s="10" t="s">
        <v>4</v>
      </c>
      <c r="G56" s="14" t="s">
        <v>36</v>
      </c>
      <c r="H56" s="9" t="s">
        <v>37</v>
      </c>
      <c r="I56" s="12" t="s">
        <v>33</v>
      </c>
      <c r="J56" s="12" t="s">
        <v>34</v>
      </c>
      <c r="K56" s="8" t="s">
        <v>39</v>
      </c>
    </row>
    <row r="57" spans="1:11" x14ac:dyDescent="0.3">
      <c r="A57" s="1">
        <v>16000000</v>
      </c>
      <c r="B57" s="6">
        <v>1</v>
      </c>
      <c r="C57" s="1">
        <f>$A$3/B57</f>
        <v>16000000</v>
      </c>
      <c r="D57" s="7">
        <f>1/C57</f>
        <v>6.2499999999999997E-8</v>
      </c>
      <c r="E57" s="1">
        <f>D57*1000</f>
        <v>6.2500000000000001E-5</v>
      </c>
      <c r="F57" s="1">
        <f>E57*1000</f>
        <v>6.25E-2</v>
      </c>
      <c r="G57" s="6">
        <v>255</v>
      </c>
      <c r="H57" s="1">
        <f>G57+1</f>
        <v>256</v>
      </c>
      <c r="I57" s="1">
        <f>H57*F57</f>
        <v>16</v>
      </c>
      <c r="J57" s="13">
        <f>I57*0.001</f>
        <v>1.6E-2</v>
      </c>
    </row>
    <row r="58" spans="1:11" x14ac:dyDescent="0.3">
      <c r="B58" s="6">
        <v>8</v>
      </c>
      <c r="C58" s="1">
        <f t="shared" ref="C58:C61" si="44">$A$3/B58</f>
        <v>2000000</v>
      </c>
      <c r="D58" s="1">
        <f t="shared" ref="D58:D61" si="45">1/C58</f>
        <v>4.9999999999999998E-7</v>
      </c>
      <c r="E58" s="1">
        <f t="shared" ref="E58:F58" si="46">D58*1000</f>
        <v>5.0000000000000001E-4</v>
      </c>
      <c r="F58" s="1">
        <f t="shared" si="46"/>
        <v>0.5</v>
      </c>
      <c r="G58" s="6">
        <v>255</v>
      </c>
      <c r="H58" s="1">
        <f t="shared" ref="H58:H61" si="47">G58+1</f>
        <v>256</v>
      </c>
      <c r="I58" s="1">
        <f t="shared" ref="I58:I61" si="48">H58*F58</f>
        <v>128</v>
      </c>
      <c r="J58" s="13">
        <f t="shared" ref="J58:J61" si="49">I58*0.001</f>
        <v>0.128</v>
      </c>
    </row>
    <row r="59" spans="1:11" x14ac:dyDescent="0.3">
      <c r="B59" s="6">
        <v>64</v>
      </c>
      <c r="C59" s="1">
        <f t="shared" si="44"/>
        <v>250000</v>
      </c>
      <c r="D59" s="1">
        <f t="shared" si="45"/>
        <v>3.9999999999999998E-6</v>
      </c>
      <c r="E59" s="1">
        <f t="shared" ref="E59:F59" si="50">D59*1000</f>
        <v>4.0000000000000001E-3</v>
      </c>
      <c r="F59" s="1">
        <f t="shared" si="50"/>
        <v>4</v>
      </c>
      <c r="G59" s="6">
        <v>255</v>
      </c>
      <c r="H59" s="1">
        <f t="shared" si="47"/>
        <v>256</v>
      </c>
      <c r="I59" s="1">
        <f t="shared" si="48"/>
        <v>1024</v>
      </c>
      <c r="J59" s="13">
        <f t="shared" si="49"/>
        <v>1.024</v>
      </c>
    </row>
    <row r="60" spans="1:11" x14ac:dyDescent="0.3">
      <c r="B60" s="6">
        <v>256</v>
      </c>
      <c r="C60" s="1">
        <f t="shared" si="44"/>
        <v>62500</v>
      </c>
      <c r="D60" s="1">
        <f t="shared" si="45"/>
        <v>1.5999999999999999E-5</v>
      </c>
      <c r="E60" s="1">
        <f t="shared" ref="E60:F60" si="51">D60*1000</f>
        <v>1.6E-2</v>
      </c>
      <c r="F60" s="1">
        <f t="shared" si="51"/>
        <v>16</v>
      </c>
      <c r="G60" s="6">
        <v>255</v>
      </c>
      <c r="H60" s="1">
        <f t="shared" si="47"/>
        <v>256</v>
      </c>
      <c r="I60" s="1">
        <f t="shared" si="48"/>
        <v>4096</v>
      </c>
      <c r="J60" s="13">
        <f t="shared" si="49"/>
        <v>4.0960000000000001</v>
      </c>
    </row>
    <row r="61" spans="1:11" x14ac:dyDescent="0.3">
      <c r="B61" s="6">
        <v>1024</v>
      </c>
      <c r="C61" s="1">
        <f t="shared" si="44"/>
        <v>15625</v>
      </c>
      <c r="D61" s="1">
        <f t="shared" si="45"/>
        <v>6.3999999999999997E-5</v>
      </c>
      <c r="E61" s="1">
        <f t="shared" ref="E61:F61" si="52">D61*1000</f>
        <v>6.4000000000000001E-2</v>
      </c>
      <c r="F61" s="1">
        <f t="shared" si="52"/>
        <v>64</v>
      </c>
      <c r="G61" s="6">
        <v>255</v>
      </c>
      <c r="H61" s="1">
        <f t="shared" si="47"/>
        <v>256</v>
      </c>
      <c r="I61" s="1">
        <f t="shared" si="48"/>
        <v>16384</v>
      </c>
      <c r="J61" s="13">
        <f t="shared" si="49"/>
        <v>16.384</v>
      </c>
    </row>
    <row r="64" spans="1:11" ht="28.5" customHeight="1" x14ac:dyDescent="0.3">
      <c r="A64" s="17" t="s">
        <v>43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ht="103.5" x14ac:dyDescent="0.3">
      <c r="A65" s="8" t="s">
        <v>5</v>
      </c>
      <c r="B65" s="5" t="s">
        <v>0</v>
      </c>
      <c r="C65" s="4" t="s">
        <v>1</v>
      </c>
      <c r="D65" s="8" t="s">
        <v>2</v>
      </c>
      <c r="E65" s="10" t="s">
        <v>3</v>
      </c>
      <c r="F65" s="11" t="s">
        <v>4</v>
      </c>
      <c r="G65" s="14" t="s">
        <v>44</v>
      </c>
      <c r="H65" s="9" t="s">
        <v>40</v>
      </c>
      <c r="I65" s="12" t="s">
        <v>34</v>
      </c>
      <c r="J65" s="12" t="s">
        <v>41</v>
      </c>
      <c r="K65" s="8" t="s">
        <v>42</v>
      </c>
    </row>
    <row r="66" spans="1:11" x14ac:dyDescent="0.3">
      <c r="A66" s="1">
        <v>16000000</v>
      </c>
      <c r="B66" s="6">
        <v>1</v>
      </c>
      <c r="C66" s="1">
        <f>$A$3/B66</f>
        <v>16000000</v>
      </c>
      <c r="D66" s="7">
        <f>1/C66</f>
        <v>6.2499999999999997E-8</v>
      </c>
      <c r="E66" s="1">
        <f>D66*1000</f>
        <v>6.2500000000000001E-5</v>
      </c>
      <c r="F66" s="1">
        <f>E66*1000</f>
        <v>6.25E-2</v>
      </c>
      <c r="G66" s="6">
        <v>65535</v>
      </c>
      <c r="H66" s="1">
        <f>G66+1</f>
        <v>65536</v>
      </c>
      <c r="I66" s="13">
        <f>H66*E66</f>
        <v>4.0960000000000001</v>
      </c>
      <c r="J66" s="13">
        <f>I66*0.001</f>
        <v>4.0959999999999998E-3</v>
      </c>
    </row>
    <row r="67" spans="1:11" x14ac:dyDescent="0.3">
      <c r="B67" s="6">
        <v>8</v>
      </c>
      <c r="C67" s="1">
        <f t="shared" ref="C67:C70" si="53">$A$3/B67</f>
        <v>2000000</v>
      </c>
      <c r="D67" s="1">
        <f t="shared" ref="D67:D70" si="54">1/C67</f>
        <v>4.9999999999999998E-7</v>
      </c>
      <c r="E67" s="1">
        <f t="shared" ref="E67:F67" si="55">D67*1000</f>
        <v>5.0000000000000001E-4</v>
      </c>
      <c r="F67" s="1">
        <f t="shared" si="55"/>
        <v>0.5</v>
      </c>
      <c r="G67" s="6">
        <v>65535</v>
      </c>
      <c r="H67" s="1">
        <f t="shared" ref="H67:H70" si="56">G67+1</f>
        <v>65536</v>
      </c>
      <c r="I67" s="13">
        <f t="shared" ref="I67:I70" si="57">H67*E67</f>
        <v>32.768000000000001</v>
      </c>
      <c r="J67" s="13">
        <f t="shared" ref="J67:J70" si="58">I67*0.001</f>
        <v>3.2767999999999999E-2</v>
      </c>
    </row>
    <row r="68" spans="1:11" x14ac:dyDescent="0.3">
      <c r="B68" s="6">
        <v>64</v>
      </c>
      <c r="C68" s="1">
        <f t="shared" si="53"/>
        <v>250000</v>
      </c>
      <c r="D68" s="1">
        <f t="shared" si="54"/>
        <v>3.9999999999999998E-6</v>
      </c>
      <c r="E68" s="1">
        <f t="shared" ref="E68:F68" si="59">D68*1000</f>
        <v>4.0000000000000001E-3</v>
      </c>
      <c r="F68" s="1">
        <f t="shared" si="59"/>
        <v>4</v>
      </c>
      <c r="G68" s="6">
        <v>65535</v>
      </c>
      <c r="H68" s="1">
        <f t="shared" si="56"/>
        <v>65536</v>
      </c>
      <c r="I68" s="13">
        <f t="shared" si="57"/>
        <v>262.14400000000001</v>
      </c>
      <c r="J68" s="13">
        <f t="shared" si="58"/>
        <v>0.26214399999999999</v>
      </c>
    </row>
    <row r="69" spans="1:11" x14ac:dyDescent="0.3">
      <c r="B69" s="6">
        <v>256</v>
      </c>
      <c r="C69" s="1">
        <f t="shared" si="53"/>
        <v>62500</v>
      </c>
      <c r="D69" s="1">
        <f t="shared" si="54"/>
        <v>1.5999999999999999E-5</v>
      </c>
      <c r="E69" s="1">
        <f t="shared" ref="E69:F69" si="60">D69*1000</f>
        <v>1.6E-2</v>
      </c>
      <c r="F69" s="1">
        <f t="shared" si="60"/>
        <v>16</v>
      </c>
      <c r="G69" s="6">
        <v>65535</v>
      </c>
      <c r="H69" s="1">
        <f t="shared" si="56"/>
        <v>65536</v>
      </c>
      <c r="I69" s="13">
        <f t="shared" si="57"/>
        <v>1048.576</v>
      </c>
      <c r="J69" s="13">
        <f t="shared" si="58"/>
        <v>1.048576</v>
      </c>
    </row>
    <row r="70" spans="1:11" x14ac:dyDescent="0.3">
      <c r="B70" s="6">
        <v>1024</v>
      </c>
      <c r="C70" s="1">
        <f t="shared" si="53"/>
        <v>15625</v>
      </c>
      <c r="D70" s="1">
        <f t="shared" si="54"/>
        <v>6.3999999999999997E-5</v>
      </c>
      <c r="E70" s="1">
        <f t="shared" ref="E70:F70" si="61">D70*1000</f>
        <v>6.4000000000000001E-2</v>
      </c>
      <c r="F70" s="1">
        <f t="shared" si="61"/>
        <v>64</v>
      </c>
      <c r="G70" s="6">
        <v>65535</v>
      </c>
      <c r="H70" s="1">
        <f t="shared" si="56"/>
        <v>65536</v>
      </c>
      <c r="I70" s="13">
        <f t="shared" si="57"/>
        <v>4194.3040000000001</v>
      </c>
      <c r="J70" s="13">
        <f t="shared" si="58"/>
        <v>4.1943039999999998</v>
      </c>
    </row>
    <row r="73" spans="1:11" x14ac:dyDescent="0.3">
      <c r="A73" s="17" t="s">
        <v>45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ht="103.5" x14ac:dyDescent="0.3">
      <c r="A74" s="8" t="s">
        <v>5</v>
      </c>
      <c r="B74" s="5" t="s">
        <v>0</v>
      </c>
      <c r="C74" s="4" t="s">
        <v>1</v>
      </c>
      <c r="D74" s="8" t="s">
        <v>2</v>
      </c>
      <c r="E74" s="10" t="s">
        <v>3</v>
      </c>
      <c r="F74" s="11" t="s">
        <v>4</v>
      </c>
      <c r="G74" s="14" t="s">
        <v>46</v>
      </c>
      <c r="H74" s="9" t="s">
        <v>40</v>
      </c>
      <c r="I74" s="12" t="s">
        <v>34</v>
      </c>
      <c r="J74" s="12" t="s">
        <v>41</v>
      </c>
      <c r="K74" s="8" t="s">
        <v>47</v>
      </c>
    </row>
    <row r="75" spans="1:11" x14ac:dyDescent="0.3">
      <c r="A75" s="1">
        <v>16000000</v>
      </c>
      <c r="B75" s="6">
        <v>1</v>
      </c>
      <c r="C75" s="1">
        <f>$A$3/B75</f>
        <v>16000000</v>
      </c>
      <c r="D75" s="7">
        <f>1/C75</f>
        <v>6.2499999999999997E-8</v>
      </c>
      <c r="E75" s="1">
        <f>D75*1000</f>
        <v>6.2500000000000001E-5</v>
      </c>
      <c r="F75" s="1">
        <f>E75*1000</f>
        <v>6.25E-2</v>
      </c>
      <c r="G75" s="6">
        <v>65535</v>
      </c>
      <c r="H75" s="1">
        <f>G75+1</f>
        <v>65536</v>
      </c>
      <c r="I75" s="13">
        <f>H75*E75</f>
        <v>4.0960000000000001</v>
      </c>
      <c r="J75" s="13">
        <f>I75*0.001</f>
        <v>4.0959999999999998E-3</v>
      </c>
    </row>
    <row r="76" spans="1:11" x14ac:dyDescent="0.3">
      <c r="B76" s="6">
        <v>8</v>
      </c>
      <c r="C76" s="1">
        <f t="shared" ref="C76:C79" si="62">$A$3/B76</f>
        <v>2000000</v>
      </c>
      <c r="D76" s="1">
        <f t="shared" ref="D76:D79" si="63">1/C76</f>
        <v>4.9999999999999998E-7</v>
      </c>
      <c r="E76" s="1">
        <f t="shared" ref="E76:F76" si="64">D76*1000</f>
        <v>5.0000000000000001E-4</v>
      </c>
      <c r="F76" s="1">
        <f t="shared" si="64"/>
        <v>0.5</v>
      </c>
      <c r="G76" s="6">
        <v>65535</v>
      </c>
      <c r="H76" s="1">
        <f t="shared" ref="H76:H79" si="65">G76+1</f>
        <v>65536</v>
      </c>
      <c r="I76" s="13">
        <f t="shared" ref="I76:I79" si="66">H76*E76</f>
        <v>32.768000000000001</v>
      </c>
      <c r="J76" s="13">
        <f t="shared" ref="J76:J79" si="67">I76*0.001</f>
        <v>3.2767999999999999E-2</v>
      </c>
    </row>
    <row r="77" spans="1:11" x14ac:dyDescent="0.3">
      <c r="B77" s="6">
        <v>64</v>
      </c>
      <c r="C77" s="1">
        <f t="shared" si="62"/>
        <v>250000</v>
      </c>
      <c r="D77" s="1">
        <f t="shared" si="63"/>
        <v>3.9999999999999998E-6</v>
      </c>
      <c r="E77" s="1">
        <f t="shared" ref="E77:F77" si="68">D77*1000</f>
        <v>4.0000000000000001E-3</v>
      </c>
      <c r="F77" s="1">
        <f t="shared" si="68"/>
        <v>4</v>
      </c>
      <c r="G77" s="6">
        <v>65535</v>
      </c>
      <c r="H77" s="1">
        <f t="shared" si="65"/>
        <v>65536</v>
      </c>
      <c r="I77" s="13">
        <f t="shared" si="66"/>
        <v>262.14400000000001</v>
      </c>
      <c r="J77" s="13">
        <f t="shared" si="67"/>
        <v>0.26214399999999999</v>
      </c>
    </row>
    <row r="78" spans="1:11" x14ac:dyDescent="0.3">
      <c r="B78" s="6">
        <v>256</v>
      </c>
      <c r="C78" s="1">
        <f t="shared" si="62"/>
        <v>62500</v>
      </c>
      <c r="D78" s="1">
        <f t="shared" si="63"/>
        <v>1.5999999999999999E-5</v>
      </c>
      <c r="E78" s="1">
        <f t="shared" ref="E78:F78" si="69">D78*1000</f>
        <v>1.6E-2</v>
      </c>
      <c r="F78" s="1">
        <f t="shared" si="69"/>
        <v>16</v>
      </c>
      <c r="G78" s="6">
        <v>65535</v>
      </c>
      <c r="H78" s="1">
        <f t="shared" si="65"/>
        <v>65536</v>
      </c>
      <c r="I78" s="13">
        <f t="shared" si="66"/>
        <v>1048.576</v>
      </c>
      <c r="J78" s="13">
        <f t="shared" si="67"/>
        <v>1.048576</v>
      </c>
    </row>
    <row r="79" spans="1:11" x14ac:dyDescent="0.3">
      <c r="B79" s="6">
        <v>1024</v>
      </c>
      <c r="C79" s="1">
        <f t="shared" si="62"/>
        <v>15625</v>
      </c>
      <c r="D79" s="1">
        <f t="shared" si="63"/>
        <v>6.3999999999999997E-5</v>
      </c>
      <c r="E79" s="1">
        <f t="shared" ref="E79:F79" si="70">D79*1000</f>
        <v>6.4000000000000001E-2</v>
      </c>
      <c r="F79" s="1">
        <f t="shared" si="70"/>
        <v>64</v>
      </c>
      <c r="G79" s="6">
        <v>65535</v>
      </c>
      <c r="H79" s="1">
        <f t="shared" si="65"/>
        <v>65536</v>
      </c>
      <c r="I79" s="13">
        <f t="shared" si="66"/>
        <v>4194.3040000000001</v>
      </c>
      <c r="J79" s="13">
        <f t="shared" si="67"/>
        <v>4.1943039999999998</v>
      </c>
    </row>
  </sheetData>
  <mergeCells count="2">
    <mergeCell ref="A64:K64"/>
    <mergeCell ref="A73:K73"/>
  </mergeCells>
  <phoneticPr fontId="3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2026-04-07T00:58:12Z</dcterms:created>
  <dcterms:modified xsi:type="dcterms:W3CDTF">2026-04-07T02:56:36Z</dcterms:modified>
</cp:coreProperties>
</file>